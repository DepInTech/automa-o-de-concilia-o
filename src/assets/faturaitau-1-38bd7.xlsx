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codeName="ThisWorkbook"/>
  <xr:revisionPtr revIDLastSave="0" documentId="8_{3108DF44-6C26-4FB2-8AE4-F54816FE6AC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ransacoes" sheetId="1" r:id="rId1"/>
    <sheet name="Resumo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5" i="1" l="1"/>
  <c r="D13" i="2"/>
  <c r="C13" i="2"/>
</calcChain>
</file>

<file path=xl/sharedStrings.xml><?xml version="1.0" encoding="utf-8"?>
<sst xmlns="http://schemas.openxmlformats.org/spreadsheetml/2006/main" count="636" uniqueCount="123">
  <si>
    <t>Data</t>
  </si>
  <si>
    <t>Estabelecimento</t>
  </si>
  <si>
    <t>Portador</t>
  </si>
  <si>
    <t>Parcela</t>
  </si>
  <si>
    <t>Valor (R$)</t>
  </si>
  <si>
    <t>Valor (US$)</t>
  </si>
  <si>
    <t>Cotacao US$</t>
  </si>
  <si>
    <t>Categoria</t>
  </si>
  <si>
    <t>Observacao</t>
  </si>
  <si>
    <t>08/06</t>
  </si>
  <si>
    <t>ESTORNO DE ANUIDADE DIF</t>
  </si>
  <si>
    <t>A.S.E. Rameh (6289)</t>
  </si>
  <si>
    <t/>
  </si>
  <si>
    <t>Pagamento / Anuidade</t>
  </si>
  <si>
    <t>06/06</t>
  </si>
  <si>
    <t>IOF COMPRA INTERNACIONA</t>
  </si>
  <si>
    <t>A.S.E. Rameh (9662)</t>
  </si>
  <si>
    <t>IOF / Taxas</t>
  </si>
  <si>
    <t>13/06</t>
  </si>
  <si>
    <t>24/06</t>
  </si>
  <si>
    <t>MP *MELIMAIS</t>
  </si>
  <si>
    <t>Compras / Alimentação</t>
  </si>
  <si>
    <t>DL*UberRides</t>
  </si>
  <si>
    <t>Transporte / Viagens</t>
  </si>
  <si>
    <t>02/06</t>
  </si>
  <si>
    <t>ANUIDADE DIFERENCI</t>
  </si>
  <si>
    <t>12/12</t>
  </si>
  <si>
    <t>09/06</t>
  </si>
  <si>
    <t>MERCADOLIVRE*MERCADOL</t>
  </si>
  <si>
    <t>Marketplace (ML)</t>
  </si>
  <si>
    <t>15/06</t>
  </si>
  <si>
    <t>MERCADOLIVRE*TGFIMPOR</t>
  </si>
  <si>
    <t>MERCADOLIVRE*TATASTOR</t>
  </si>
  <si>
    <t>MERCADO*FOLIAEFESTA</t>
  </si>
  <si>
    <t>MERCADOLIVRE*MULTIMAR</t>
  </si>
  <si>
    <t>MERCADOLIVRE*BADULAKE</t>
  </si>
  <si>
    <t>MERCADO*DONEMBALAGENS</t>
  </si>
  <si>
    <t>MERCADO*MERCADOLIVRE</t>
  </si>
  <si>
    <t>16/06</t>
  </si>
  <si>
    <t>MERCADOLIVRE*MERCADOLI</t>
  </si>
  <si>
    <t>MERCADOLIVRE*CAMILLEG</t>
  </si>
  <si>
    <t>MERCADOLIVRE*DESCHEM</t>
  </si>
  <si>
    <t>MERCADO*FANTASIACAROL</t>
  </si>
  <si>
    <t>MERCADOLIVRE*BIGMAGAZ</t>
  </si>
  <si>
    <t>Apenas Fatura</t>
  </si>
  <si>
    <t>MINI MERCAD HAGAPES</t>
  </si>
  <si>
    <t>12/06</t>
  </si>
  <si>
    <t>11/06</t>
  </si>
  <si>
    <t>Apenas fatura</t>
  </si>
  <si>
    <t>PAO DE ACUCAR-0106</t>
  </si>
  <si>
    <t>Outros</t>
  </si>
  <si>
    <t>MERCADOLIVRE*REINODOM</t>
  </si>
  <si>
    <t>22/06</t>
  </si>
  <si>
    <t>17/06</t>
  </si>
  <si>
    <t>IG*Autentique</t>
  </si>
  <si>
    <t>Tecnologia / SaaS</t>
  </si>
  <si>
    <t>MERCADOLIVRE*ADRIANOV</t>
  </si>
  <si>
    <t>MERCADOLIVRE*BWBOUTIQ</t>
  </si>
  <si>
    <t>OPENAI *CHATGPT SUBSCR</t>
  </si>
  <si>
    <t>Internacional</t>
  </si>
  <si>
    <t>05/06</t>
  </si>
  <si>
    <t>19/08</t>
  </si>
  <si>
    <t>MERCADOLIVRE*TITAN</t>
  </si>
  <si>
    <t>11/12</t>
  </si>
  <si>
    <t>Marte C*Marte Cient</t>
  </si>
  <si>
    <t>07/04</t>
  </si>
  <si>
    <t>VERISURE BRASIL MO</t>
  </si>
  <si>
    <t>03/10</t>
  </si>
  <si>
    <t>Segurança</t>
  </si>
  <si>
    <t>23/06</t>
  </si>
  <si>
    <t>LucasMouraDeJesus</t>
  </si>
  <si>
    <t>MERCADOLIVRE*TUDOIMPO</t>
  </si>
  <si>
    <t>MERCADOLIVRE*BEKELTEX</t>
  </si>
  <si>
    <t>DL *Starlink Brazil</t>
  </si>
  <si>
    <t>CELESTINO PADARIA LTDA</t>
  </si>
  <si>
    <t>apenas fatura</t>
  </si>
  <si>
    <t>22/10</t>
  </si>
  <si>
    <t>Verisure</t>
  </si>
  <si>
    <t>09/12</t>
  </si>
  <si>
    <t>MERCADOLIVRE*AXPNEUMA</t>
  </si>
  <si>
    <t>MERCADOLIVRE*ALLIGATO</t>
  </si>
  <si>
    <t>STARLINK INTERNET</t>
  </si>
  <si>
    <t>25/06</t>
  </si>
  <si>
    <t>VERISURE BRA*Mensagem</t>
  </si>
  <si>
    <t>22/01</t>
  </si>
  <si>
    <t>MAGALU*Magalu Maga</t>
  </si>
  <si>
    <t>06/07</t>
  </si>
  <si>
    <t>19/06</t>
  </si>
  <si>
    <t>DONA COMERCI*Edona</t>
  </si>
  <si>
    <t>Fornecedores</t>
  </si>
  <si>
    <t>divergente</t>
  </si>
  <si>
    <t>Amazon AWS Servicos Br</t>
  </si>
  <si>
    <t>02/02</t>
  </si>
  <si>
    <t>AutohubService</t>
  </si>
  <si>
    <t>05/10</t>
  </si>
  <si>
    <t>ARQUIVEI SERVICOS ON L</t>
  </si>
  <si>
    <t>17/03</t>
  </si>
  <si>
    <t>LJ DO MEC</t>
  </si>
  <si>
    <t>04/04</t>
  </si>
  <si>
    <t>ODOO BR LTDA</t>
  </si>
  <si>
    <t>01/06</t>
  </si>
  <si>
    <t>Indeed BRI26-00036734</t>
  </si>
  <si>
    <t>18/03</t>
  </si>
  <si>
    <t>PP *MERITO COM</t>
  </si>
  <si>
    <t>04/06</t>
  </si>
  <si>
    <t>26/06</t>
  </si>
  <si>
    <t>AZUL LINHAS AEREAS BRA</t>
  </si>
  <si>
    <t>SJX - COMERCIAL ATACAD</t>
  </si>
  <si>
    <t>Vindi *LojaNetlab</t>
  </si>
  <si>
    <t>SWIFT PIRACUAMA</t>
  </si>
  <si>
    <t>01/04</t>
  </si>
  <si>
    <t>03/03</t>
  </si>
  <si>
    <t>04/02</t>
  </si>
  <si>
    <t>MERCADO*39PRODUTOS</t>
  </si>
  <si>
    <t>05/05</t>
  </si>
  <si>
    <t>PG *BIOCENTRIX MATERIA</t>
  </si>
  <si>
    <t>ASSAI ATACADISTA LJ45</t>
  </si>
  <si>
    <t>total</t>
  </si>
  <si>
    <t>RESUMO POR CATEGORIA</t>
  </si>
  <si>
    <t>Qtd. Lancamentos</t>
  </si>
  <si>
    <t>Total (R$)</t>
  </si>
  <si>
    <t>% do Total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</si>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</sst>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"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16" fontId="0" fillId="3" borderId="0" xfId="0" applyNumberFormat="1" applyFill="1"/>
    <xf numFmtId="16" fontId="0" fillId="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5"/>
  <sheetViews>
    <sheetView tabSelected="1" workbookViewId="0">
      <selection activeCell="A5" sqref="A5:XFD5"/>
    </sheetView>
  </sheetViews>
  <sheetFormatPr defaultRowHeight="15"/>
  <cols>
    <col min="1" max="1" width="12.875" customWidth="1"/>
    <col min="2" max="2" width="40.875" customWidth="1"/>
    <col min="3" max="3" width="20.875" customWidth="1"/>
    <col min="4" max="4" width="8.875" customWidth="1"/>
    <col min="5" max="5" width="14.875" style="1" customWidth="1"/>
    <col min="6" max="7" width="12.875" customWidth="1"/>
    <col min="8" max="8" width="24.875" customWidth="1"/>
    <col min="9" max="9" width="20.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s="6" customFormat="1">
      <c r="A2" s="6" t="s">
        <v>9</v>
      </c>
      <c r="B2" s="6" t="s">
        <v>10</v>
      </c>
      <c r="C2" s="6" t="s">
        <v>11</v>
      </c>
      <c r="D2" s="6" t="s">
        <v>12</v>
      </c>
      <c r="E2" s="7">
        <v>-18.75</v>
      </c>
      <c r="H2" s="6" t="s">
        <v>13</v>
      </c>
      <c r="I2" s="6" t="s">
        <v>12</v>
      </c>
    </row>
    <row r="3" spans="1:9" s="6" customFormat="1">
      <c r="A3" s="6" t="s">
        <v>14</v>
      </c>
      <c r="B3" s="6" t="s">
        <v>15</v>
      </c>
      <c r="C3" s="6" t="s">
        <v>16</v>
      </c>
      <c r="D3" s="6" t="s">
        <v>12</v>
      </c>
      <c r="E3" s="7">
        <v>3.79</v>
      </c>
      <c r="H3" s="6" t="s">
        <v>17</v>
      </c>
      <c r="I3" s="6" t="s">
        <v>12</v>
      </c>
    </row>
    <row r="4" spans="1:9" s="6" customFormat="1">
      <c r="A4" s="6" t="s">
        <v>18</v>
      </c>
      <c r="B4" s="6" t="s">
        <v>15</v>
      </c>
      <c r="C4" s="6" t="s">
        <v>16</v>
      </c>
      <c r="D4" s="6" t="s">
        <v>12</v>
      </c>
      <c r="E4" s="7">
        <v>3.79</v>
      </c>
      <c r="H4" s="6" t="s">
        <v>17</v>
      </c>
      <c r="I4" s="6" t="s">
        <v>12</v>
      </c>
    </row>
    <row r="5" spans="1:9" s="4" customFormat="1">
      <c r="A5" s="4" t="s">
        <v>19</v>
      </c>
      <c r="B5" s="4" t="s">
        <v>20</v>
      </c>
      <c r="C5" s="4" t="s">
        <v>16</v>
      </c>
      <c r="D5" s="4" t="s">
        <v>12</v>
      </c>
      <c r="E5" s="5">
        <v>9.9</v>
      </c>
      <c r="H5" s="4" t="s">
        <v>21</v>
      </c>
      <c r="I5" s="4" t="s">
        <v>12</v>
      </c>
    </row>
    <row r="6" spans="1:9" s="6" customFormat="1">
      <c r="A6" s="6" t="s">
        <v>19</v>
      </c>
      <c r="B6" s="6" t="s">
        <v>22</v>
      </c>
      <c r="C6" s="6" t="s">
        <v>16</v>
      </c>
      <c r="D6" s="6" t="s">
        <v>12</v>
      </c>
      <c r="E6" s="7">
        <v>12.94</v>
      </c>
      <c r="H6" s="6" t="s">
        <v>23</v>
      </c>
      <c r="I6" s="6" t="s">
        <v>12</v>
      </c>
    </row>
    <row r="7" spans="1:9" s="6" customFormat="1">
      <c r="A7" s="6" t="s">
        <v>24</v>
      </c>
      <c r="B7" s="6" t="s">
        <v>25</v>
      </c>
      <c r="C7" s="6" t="s">
        <v>16</v>
      </c>
      <c r="D7" s="6" t="s">
        <v>26</v>
      </c>
      <c r="E7" s="7">
        <v>18.75</v>
      </c>
      <c r="H7" s="6" t="s">
        <v>13</v>
      </c>
      <c r="I7" s="6" t="s">
        <v>12</v>
      </c>
    </row>
    <row r="8" spans="1:9" s="4" customFormat="1">
      <c r="A8" s="4" t="s">
        <v>27</v>
      </c>
      <c r="B8" s="4" t="s">
        <v>28</v>
      </c>
      <c r="C8" s="4" t="s">
        <v>16</v>
      </c>
      <c r="D8" s="4" t="s">
        <v>12</v>
      </c>
      <c r="E8" s="5">
        <v>19</v>
      </c>
      <c r="H8" s="4" t="s">
        <v>29</v>
      </c>
      <c r="I8" s="4" t="s">
        <v>12</v>
      </c>
    </row>
    <row r="9" spans="1:9" s="4" customFormat="1">
      <c r="A9" s="4" t="s">
        <v>30</v>
      </c>
      <c r="B9" s="4" t="s">
        <v>31</v>
      </c>
      <c r="C9" s="4" t="s">
        <v>16</v>
      </c>
      <c r="D9" s="4" t="s">
        <v>12</v>
      </c>
      <c r="E9" s="5">
        <v>20.99</v>
      </c>
      <c r="H9" s="4" t="s">
        <v>29</v>
      </c>
      <c r="I9" s="4" t="s">
        <v>12</v>
      </c>
    </row>
    <row r="10" spans="1:9" s="4" customFormat="1">
      <c r="A10" s="4" t="s">
        <v>30</v>
      </c>
      <c r="B10" s="4" t="s">
        <v>32</v>
      </c>
      <c r="C10" s="4" t="s">
        <v>16</v>
      </c>
      <c r="D10" s="4" t="s">
        <v>12</v>
      </c>
      <c r="E10" s="5">
        <v>22.99</v>
      </c>
      <c r="H10" s="4" t="s">
        <v>29</v>
      </c>
      <c r="I10" s="4" t="s">
        <v>12</v>
      </c>
    </row>
    <row r="11" spans="1:9" s="4" customFormat="1">
      <c r="A11" s="4" t="s">
        <v>27</v>
      </c>
      <c r="B11" s="4" t="s">
        <v>33</v>
      </c>
      <c r="C11" s="4" t="s">
        <v>16</v>
      </c>
      <c r="D11" s="4" t="s">
        <v>12</v>
      </c>
      <c r="E11" s="5">
        <v>23.9</v>
      </c>
      <c r="H11" s="4" t="s">
        <v>29</v>
      </c>
      <c r="I11" s="4" t="s">
        <v>12</v>
      </c>
    </row>
    <row r="12" spans="1:9" s="4" customFormat="1">
      <c r="A12" s="4" t="s">
        <v>30</v>
      </c>
      <c r="B12" s="4" t="s">
        <v>34</v>
      </c>
      <c r="C12" s="4" t="s">
        <v>16</v>
      </c>
      <c r="D12" s="4" t="s">
        <v>12</v>
      </c>
      <c r="E12" s="5">
        <v>25.37</v>
      </c>
      <c r="H12" s="4" t="s">
        <v>29</v>
      </c>
      <c r="I12" s="4" t="s">
        <v>12</v>
      </c>
    </row>
    <row r="13" spans="1:9" s="4" customFormat="1">
      <c r="A13" s="4" t="s">
        <v>30</v>
      </c>
      <c r="B13" s="4" t="s">
        <v>35</v>
      </c>
      <c r="C13" s="4" t="s">
        <v>16</v>
      </c>
      <c r="D13" s="4" t="s">
        <v>12</v>
      </c>
      <c r="E13" s="5">
        <v>29.9</v>
      </c>
      <c r="H13" s="4" t="s">
        <v>29</v>
      </c>
      <c r="I13" s="4" t="s">
        <v>12</v>
      </c>
    </row>
    <row r="14" spans="1:9" s="4" customFormat="1">
      <c r="A14" s="4" t="s">
        <v>30</v>
      </c>
      <c r="B14" s="4" t="s">
        <v>28</v>
      </c>
      <c r="C14" s="4" t="s">
        <v>16</v>
      </c>
      <c r="D14" s="4" t="s">
        <v>12</v>
      </c>
      <c r="E14" s="5">
        <v>30.99</v>
      </c>
      <c r="H14" s="4" t="s">
        <v>29</v>
      </c>
      <c r="I14" s="4" t="s">
        <v>12</v>
      </c>
    </row>
    <row r="15" spans="1:9" s="4" customFormat="1">
      <c r="A15" s="4" t="s">
        <v>30</v>
      </c>
      <c r="B15" s="4" t="s">
        <v>36</v>
      </c>
      <c r="C15" s="4" t="s">
        <v>16</v>
      </c>
      <c r="D15" s="4" t="s">
        <v>12</v>
      </c>
      <c r="E15" s="5">
        <v>31.1</v>
      </c>
      <c r="H15" s="4" t="s">
        <v>29</v>
      </c>
      <c r="I15" s="4" t="s">
        <v>12</v>
      </c>
    </row>
    <row r="16" spans="1:9" s="4" customFormat="1">
      <c r="A16" s="4" t="s">
        <v>30</v>
      </c>
      <c r="B16" s="4" t="s">
        <v>37</v>
      </c>
      <c r="C16" s="4" t="s">
        <v>16</v>
      </c>
      <c r="D16" s="4" t="s">
        <v>12</v>
      </c>
      <c r="E16" s="5">
        <v>31.79</v>
      </c>
      <c r="H16" s="4" t="s">
        <v>29</v>
      </c>
      <c r="I16" s="4" t="s">
        <v>12</v>
      </c>
    </row>
    <row r="17" spans="1:9" s="4" customFormat="1">
      <c r="A17" s="4" t="s">
        <v>38</v>
      </c>
      <c r="B17" s="4" t="s">
        <v>28</v>
      </c>
      <c r="C17" s="4" t="s">
        <v>16</v>
      </c>
      <c r="D17" s="4" t="s">
        <v>12</v>
      </c>
      <c r="E17" s="5">
        <v>33.99</v>
      </c>
      <c r="H17" s="4" t="s">
        <v>29</v>
      </c>
      <c r="I17" s="4" t="s">
        <v>12</v>
      </c>
    </row>
    <row r="18" spans="1:9" s="4" customFormat="1">
      <c r="A18" s="4" t="s">
        <v>30</v>
      </c>
      <c r="B18" s="4" t="s">
        <v>39</v>
      </c>
      <c r="C18" s="4" t="s">
        <v>16</v>
      </c>
      <c r="D18" s="4" t="s">
        <v>12</v>
      </c>
      <c r="E18" s="5">
        <v>34.9</v>
      </c>
      <c r="H18" s="4" t="s">
        <v>29</v>
      </c>
      <c r="I18" s="4" t="s">
        <v>12</v>
      </c>
    </row>
    <row r="19" spans="1:9" s="4" customFormat="1">
      <c r="A19" s="4" t="s">
        <v>30</v>
      </c>
      <c r="B19" s="4" t="s">
        <v>28</v>
      </c>
      <c r="C19" s="4" t="s">
        <v>16</v>
      </c>
      <c r="D19" s="4" t="s">
        <v>12</v>
      </c>
      <c r="E19" s="5">
        <v>35.409999999999997</v>
      </c>
      <c r="H19" s="4" t="s">
        <v>29</v>
      </c>
      <c r="I19" s="4" t="s">
        <v>12</v>
      </c>
    </row>
    <row r="20" spans="1:9" s="4" customFormat="1">
      <c r="A20" s="4" t="s">
        <v>30</v>
      </c>
      <c r="B20" s="4" t="s">
        <v>28</v>
      </c>
      <c r="C20" s="4" t="s">
        <v>16</v>
      </c>
      <c r="D20" s="4" t="s">
        <v>12</v>
      </c>
      <c r="E20" s="5">
        <v>35.89</v>
      </c>
      <c r="H20" s="4" t="s">
        <v>29</v>
      </c>
      <c r="I20" s="4" t="s">
        <v>12</v>
      </c>
    </row>
    <row r="21" spans="1:9" s="4" customFormat="1">
      <c r="A21" s="4" t="s">
        <v>30</v>
      </c>
      <c r="B21" s="4" t="s">
        <v>39</v>
      </c>
      <c r="C21" s="4" t="s">
        <v>16</v>
      </c>
      <c r="D21" s="4" t="s">
        <v>12</v>
      </c>
      <c r="E21" s="5">
        <v>35.9</v>
      </c>
      <c r="H21" s="4" t="s">
        <v>29</v>
      </c>
      <c r="I21" s="4" t="s">
        <v>12</v>
      </c>
    </row>
    <row r="22" spans="1:9" s="4" customFormat="1">
      <c r="A22" s="4" t="s">
        <v>30</v>
      </c>
      <c r="B22" s="4" t="s">
        <v>40</v>
      </c>
      <c r="C22" s="4" t="s">
        <v>16</v>
      </c>
      <c r="D22" s="4" t="s">
        <v>12</v>
      </c>
      <c r="E22" s="5">
        <v>36.840000000000003</v>
      </c>
      <c r="H22" s="4" t="s">
        <v>29</v>
      </c>
      <c r="I22" s="4" t="s">
        <v>12</v>
      </c>
    </row>
    <row r="23" spans="1:9" s="4" customFormat="1">
      <c r="A23" s="4" t="s">
        <v>30</v>
      </c>
      <c r="B23" s="4" t="s">
        <v>28</v>
      </c>
      <c r="C23" s="4" t="s">
        <v>16</v>
      </c>
      <c r="D23" s="4" t="s">
        <v>12</v>
      </c>
      <c r="E23" s="5">
        <v>38</v>
      </c>
      <c r="H23" s="4" t="s">
        <v>29</v>
      </c>
      <c r="I23" s="4" t="s">
        <v>12</v>
      </c>
    </row>
    <row r="24" spans="1:9" s="4" customFormat="1">
      <c r="A24" s="4" t="s">
        <v>30</v>
      </c>
      <c r="B24" s="4" t="s">
        <v>28</v>
      </c>
      <c r="C24" s="4" t="s">
        <v>16</v>
      </c>
      <c r="D24" s="4" t="s">
        <v>12</v>
      </c>
      <c r="E24" s="5">
        <v>38.9</v>
      </c>
      <c r="H24" s="4" t="s">
        <v>29</v>
      </c>
      <c r="I24" s="4" t="s">
        <v>12</v>
      </c>
    </row>
    <row r="25" spans="1:9" s="4" customFormat="1">
      <c r="A25" s="4" t="s">
        <v>30</v>
      </c>
      <c r="B25" s="4" t="s">
        <v>41</v>
      </c>
      <c r="C25" s="4" t="s">
        <v>16</v>
      </c>
      <c r="D25" s="4" t="s">
        <v>12</v>
      </c>
      <c r="E25" s="5">
        <v>39.5</v>
      </c>
      <c r="H25" s="4" t="s">
        <v>29</v>
      </c>
      <c r="I25" s="4" t="s">
        <v>12</v>
      </c>
    </row>
    <row r="26" spans="1:9" s="4" customFormat="1">
      <c r="A26" s="4" t="s">
        <v>30</v>
      </c>
      <c r="B26" s="4" t="s">
        <v>28</v>
      </c>
      <c r="C26" s="4" t="s">
        <v>16</v>
      </c>
      <c r="D26" s="4" t="s">
        <v>12</v>
      </c>
      <c r="E26" s="5">
        <v>39.799999999999997</v>
      </c>
      <c r="H26" s="4" t="s">
        <v>29</v>
      </c>
      <c r="I26" s="4" t="s">
        <v>12</v>
      </c>
    </row>
    <row r="27" spans="1:9" s="4" customFormat="1">
      <c r="A27" s="4" t="s">
        <v>27</v>
      </c>
      <c r="B27" s="4" t="s">
        <v>42</v>
      </c>
      <c r="C27" s="4" t="s">
        <v>16</v>
      </c>
      <c r="D27" s="4" t="s">
        <v>12</v>
      </c>
      <c r="E27" s="5">
        <v>41.29</v>
      </c>
      <c r="H27" s="4" t="s">
        <v>29</v>
      </c>
      <c r="I27" s="4" t="s">
        <v>12</v>
      </c>
    </row>
    <row r="28" spans="1:9" s="4" customFormat="1">
      <c r="A28" s="4" t="s">
        <v>27</v>
      </c>
      <c r="B28" s="4" t="s">
        <v>28</v>
      </c>
      <c r="C28" s="4" t="s">
        <v>16</v>
      </c>
      <c r="D28" s="4" t="s">
        <v>12</v>
      </c>
      <c r="E28" s="5">
        <v>42.99</v>
      </c>
      <c r="H28" s="4" t="s">
        <v>29</v>
      </c>
      <c r="I28" s="4" t="s">
        <v>12</v>
      </c>
    </row>
    <row r="29" spans="1:9" s="4" customFormat="1">
      <c r="A29" s="4" t="s">
        <v>30</v>
      </c>
      <c r="B29" s="4" t="s">
        <v>28</v>
      </c>
      <c r="C29" s="4" t="s">
        <v>16</v>
      </c>
      <c r="D29" s="4" t="s">
        <v>12</v>
      </c>
      <c r="E29" s="5">
        <v>43.84</v>
      </c>
      <c r="H29" s="4" t="s">
        <v>29</v>
      </c>
      <c r="I29" s="4" t="s">
        <v>12</v>
      </c>
    </row>
    <row r="30" spans="1:9" s="4" customFormat="1">
      <c r="A30" s="4" t="s">
        <v>30</v>
      </c>
      <c r="B30" s="4" t="s">
        <v>37</v>
      </c>
      <c r="C30" s="4" t="s">
        <v>16</v>
      </c>
      <c r="D30" s="4" t="s">
        <v>12</v>
      </c>
      <c r="E30" s="5">
        <v>45.99</v>
      </c>
      <c r="H30" s="4" t="s">
        <v>29</v>
      </c>
      <c r="I30" s="4" t="s">
        <v>12</v>
      </c>
    </row>
    <row r="31" spans="1:9" s="4" customFormat="1">
      <c r="A31" s="4" t="s">
        <v>30</v>
      </c>
      <c r="B31" s="4" t="s">
        <v>39</v>
      </c>
      <c r="C31" s="4" t="s">
        <v>16</v>
      </c>
      <c r="D31" s="4" t="s">
        <v>12</v>
      </c>
      <c r="E31" s="5">
        <v>47</v>
      </c>
      <c r="H31" s="4" t="s">
        <v>29</v>
      </c>
      <c r="I31" s="4" t="s">
        <v>12</v>
      </c>
    </row>
    <row r="32" spans="1:9" s="4" customFormat="1">
      <c r="A32" s="4" t="s">
        <v>27</v>
      </c>
      <c r="B32" s="4" t="s">
        <v>28</v>
      </c>
      <c r="C32" s="4" t="s">
        <v>16</v>
      </c>
      <c r="D32" s="4" t="s">
        <v>12</v>
      </c>
      <c r="E32" s="5">
        <v>51.49</v>
      </c>
      <c r="H32" s="4" t="s">
        <v>29</v>
      </c>
      <c r="I32" s="4" t="s">
        <v>12</v>
      </c>
    </row>
    <row r="33" spans="1:9" s="4" customFormat="1">
      <c r="A33" s="4" t="s">
        <v>30</v>
      </c>
      <c r="B33" s="4" t="s">
        <v>43</v>
      </c>
      <c r="C33" s="4" t="s">
        <v>16</v>
      </c>
      <c r="D33" s="4" t="s">
        <v>12</v>
      </c>
      <c r="E33" s="5">
        <v>53.28</v>
      </c>
      <c r="H33" s="4" t="s">
        <v>29</v>
      </c>
      <c r="I33" s="4" t="s">
        <v>12</v>
      </c>
    </row>
    <row r="34" spans="1:9" s="4" customFormat="1">
      <c r="A34" s="4" t="s">
        <v>30</v>
      </c>
      <c r="B34" s="4" t="s">
        <v>28</v>
      </c>
      <c r="C34" s="4" t="s">
        <v>16</v>
      </c>
      <c r="D34" s="4" t="s">
        <v>12</v>
      </c>
      <c r="E34" s="5">
        <v>55.39</v>
      </c>
      <c r="H34" s="4" t="s">
        <v>29</v>
      </c>
      <c r="I34" s="4" t="s">
        <v>12</v>
      </c>
    </row>
    <row r="35" spans="1:9" s="6" customFormat="1" ht="15.75">
      <c r="A35" s="6" t="s">
        <v>30</v>
      </c>
      <c r="B35" s="6" t="s">
        <v>28</v>
      </c>
      <c r="C35" s="6" t="s">
        <v>16</v>
      </c>
      <c r="D35" s="6" t="s">
        <v>12</v>
      </c>
      <c r="E35" s="7">
        <v>58.9</v>
      </c>
      <c r="H35" s="6" t="s">
        <v>29</v>
      </c>
      <c r="I35" s="6" t="s">
        <v>44</v>
      </c>
    </row>
    <row r="36" spans="1:9" s="4" customFormat="1">
      <c r="A36" s="4" t="s">
        <v>27</v>
      </c>
      <c r="B36" s="4" t="s">
        <v>28</v>
      </c>
      <c r="C36" s="4" t="s">
        <v>16</v>
      </c>
      <c r="D36" s="4" t="s">
        <v>12</v>
      </c>
      <c r="E36" s="5">
        <v>59.8</v>
      </c>
      <c r="H36" s="4" t="s">
        <v>29</v>
      </c>
      <c r="I36" s="4" t="s">
        <v>12</v>
      </c>
    </row>
    <row r="37" spans="1:9" s="4" customFormat="1">
      <c r="A37" s="4" t="s">
        <v>30</v>
      </c>
      <c r="B37" s="4" t="s">
        <v>45</v>
      </c>
      <c r="C37" s="4" t="s">
        <v>16</v>
      </c>
      <c r="D37" s="4" t="s">
        <v>12</v>
      </c>
      <c r="E37" s="5">
        <v>60.37</v>
      </c>
      <c r="H37" s="4" t="s">
        <v>21</v>
      </c>
      <c r="I37" s="4" t="s">
        <v>12</v>
      </c>
    </row>
    <row r="38" spans="1:9" s="4" customFormat="1">
      <c r="A38" s="4" t="s">
        <v>27</v>
      </c>
      <c r="B38" s="4" t="s">
        <v>28</v>
      </c>
      <c r="C38" s="4" t="s">
        <v>16</v>
      </c>
      <c r="D38" s="4" t="s">
        <v>12</v>
      </c>
      <c r="E38" s="5">
        <v>60.72</v>
      </c>
      <c r="H38" s="4" t="s">
        <v>29</v>
      </c>
      <c r="I38" s="4" t="s">
        <v>12</v>
      </c>
    </row>
    <row r="39" spans="1:9" s="4" customFormat="1">
      <c r="A39" s="4" t="s">
        <v>46</v>
      </c>
      <c r="B39" s="4" t="s">
        <v>45</v>
      </c>
      <c r="C39" s="4" t="s">
        <v>16</v>
      </c>
      <c r="D39" s="4" t="s">
        <v>12</v>
      </c>
      <c r="E39" s="5">
        <v>62.32</v>
      </c>
      <c r="H39" s="4" t="s">
        <v>21</v>
      </c>
      <c r="I39" s="4" t="s">
        <v>12</v>
      </c>
    </row>
    <row r="40" spans="1:9" s="4" customFormat="1">
      <c r="A40" s="4" t="s">
        <v>27</v>
      </c>
      <c r="B40" s="4" t="s">
        <v>37</v>
      </c>
      <c r="C40" s="4" t="s">
        <v>16</v>
      </c>
      <c r="D40" s="4" t="s">
        <v>12</v>
      </c>
      <c r="E40" s="5">
        <v>63.04</v>
      </c>
      <c r="H40" s="4" t="s">
        <v>29</v>
      </c>
      <c r="I40" s="4" t="s">
        <v>12</v>
      </c>
    </row>
    <row r="41" spans="1:9" s="4" customFormat="1">
      <c r="A41" s="4" t="s">
        <v>47</v>
      </c>
      <c r="B41" s="4" t="s">
        <v>28</v>
      </c>
      <c r="C41" s="4" t="s">
        <v>16</v>
      </c>
      <c r="D41" s="4" t="s">
        <v>12</v>
      </c>
      <c r="E41" s="5">
        <v>64.39</v>
      </c>
      <c r="H41" s="4" t="s">
        <v>29</v>
      </c>
      <c r="I41" s="4" t="s">
        <v>12</v>
      </c>
    </row>
    <row r="42" spans="1:9" s="6" customFormat="1">
      <c r="A42" s="9">
        <v>46192</v>
      </c>
      <c r="B42" s="6" t="s">
        <v>28</v>
      </c>
      <c r="C42" s="6" t="s">
        <v>16</v>
      </c>
      <c r="D42" s="6" t="s">
        <v>12</v>
      </c>
      <c r="E42" s="7">
        <v>68.540000000000006</v>
      </c>
      <c r="H42" s="6" t="s">
        <v>29</v>
      </c>
      <c r="I42" s="6" t="s">
        <v>48</v>
      </c>
    </row>
    <row r="43" spans="1:9" s="4" customFormat="1" ht="15.75">
      <c r="A43" s="4" t="s">
        <v>27</v>
      </c>
      <c r="B43" s="4" t="s">
        <v>37</v>
      </c>
      <c r="C43" s="4" t="s">
        <v>16</v>
      </c>
      <c r="D43" s="4" t="s">
        <v>12</v>
      </c>
      <c r="E43" s="5">
        <v>69.98</v>
      </c>
      <c r="H43" s="4" t="s">
        <v>29</v>
      </c>
      <c r="I43" s="4" t="s">
        <v>12</v>
      </c>
    </row>
    <row r="44" spans="1:9" s="4" customFormat="1">
      <c r="A44" s="4" t="s">
        <v>27</v>
      </c>
      <c r="B44" s="4" t="s">
        <v>28</v>
      </c>
      <c r="C44" s="4" t="s">
        <v>16</v>
      </c>
      <c r="D44" s="4" t="s">
        <v>12</v>
      </c>
      <c r="E44" s="5">
        <v>72.27</v>
      </c>
      <c r="H44" s="4" t="s">
        <v>29</v>
      </c>
      <c r="I44" s="4" t="s">
        <v>12</v>
      </c>
    </row>
    <row r="45" spans="1:9" s="4" customFormat="1" ht="15.75">
      <c r="A45" s="4" t="s">
        <v>27</v>
      </c>
      <c r="B45" s="4" t="s">
        <v>49</v>
      </c>
      <c r="C45" s="4" t="s">
        <v>16</v>
      </c>
      <c r="D45" s="4" t="s">
        <v>12</v>
      </c>
      <c r="E45" s="5">
        <v>72.31</v>
      </c>
      <c r="H45" s="4" t="s">
        <v>50</v>
      </c>
      <c r="I45" s="4" t="s">
        <v>12</v>
      </c>
    </row>
    <row r="46" spans="1:9" s="4" customFormat="1">
      <c r="A46" s="4" t="s">
        <v>27</v>
      </c>
      <c r="B46" s="4" t="s">
        <v>51</v>
      </c>
      <c r="C46" s="4" t="s">
        <v>16</v>
      </c>
      <c r="D46" s="4" t="s">
        <v>12</v>
      </c>
      <c r="E46" s="5">
        <v>77.900000000000006</v>
      </c>
      <c r="H46" s="4" t="s">
        <v>29</v>
      </c>
      <c r="I46" s="4" t="s">
        <v>12</v>
      </c>
    </row>
    <row r="47" spans="1:9" s="4" customFormat="1">
      <c r="A47" s="4" t="s">
        <v>27</v>
      </c>
      <c r="B47" s="4" t="s">
        <v>28</v>
      </c>
      <c r="C47" s="4" t="s">
        <v>16</v>
      </c>
      <c r="D47" s="4" t="s">
        <v>12</v>
      </c>
      <c r="E47" s="5">
        <v>78</v>
      </c>
      <c r="H47" s="4" t="s">
        <v>29</v>
      </c>
      <c r="I47" s="4" t="s">
        <v>12</v>
      </c>
    </row>
    <row r="48" spans="1:9" s="6" customFormat="1">
      <c r="A48" s="6" t="s">
        <v>52</v>
      </c>
      <c r="B48" s="6" t="s">
        <v>28</v>
      </c>
      <c r="C48" s="6" t="s">
        <v>16</v>
      </c>
      <c r="D48" s="6" t="s">
        <v>12</v>
      </c>
      <c r="E48" s="7">
        <v>80.16</v>
      </c>
      <c r="H48" s="6" t="s">
        <v>29</v>
      </c>
      <c r="I48" s="6" t="s">
        <v>44</v>
      </c>
    </row>
    <row r="49" spans="1:9" s="6" customFormat="1">
      <c r="A49" s="6" t="s">
        <v>53</v>
      </c>
      <c r="B49" s="6" t="s">
        <v>49</v>
      </c>
      <c r="C49" s="6" t="s">
        <v>16</v>
      </c>
      <c r="D49" s="6" t="s">
        <v>12</v>
      </c>
      <c r="E49" s="7">
        <v>86.01</v>
      </c>
      <c r="H49" s="6" t="s">
        <v>50</v>
      </c>
      <c r="I49" s="6" t="s">
        <v>12</v>
      </c>
    </row>
    <row r="50" spans="1:9" s="4" customFormat="1">
      <c r="A50" s="4" t="s">
        <v>27</v>
      </c>
      <c r="B50" s="4" t="s">
        <v>28</v>
      </c>
      <c r="C50" s="4" t="s">
        <v>16</v>
      </c>
      <c r="D50" s="4" t="s">
        <v>12</v>
      </c>
      <c r="E50" s="5">
        <v>89.8</v>
      </c>
      <c r="H50" s="4" t="s">
        <v>29</v>
      </c>
      <c r="I50" s="4" t="s">
        <v>12</v>
      </c>
    </row>
    <row r="51" spans="1:9" s="4" customFormat="1">
      <c r="A51" s="4" t="s">
        <v>27</v>
      </c>
      <c r="B51" s="4" t="s">
        <v>28</v>
      </c>
      <c r="C51" s="4" t="s">
        <v>16</v>
      </c>
      <c r="D51" s="4" t="s">
        <v>12</v>
      </c>
      <c r="E51" s="5">
        <v>89.97</v>
      </c>
      <c r="H51" s="4" t="s">
        <v>29</v>
      </c>
      <c r="I51" s="4" t="s">
        <v>12</v>
      </c>
    </row>
    <row r="52" spans="1:9" s="6" customFormat="1">
      <c r="A52" s="9">
        <v>46184</v>
      </c>
      <c r="B52" s="6" t="s">
        <v>28</v>
      </c>
      <c r="C52" s="6" t="s">
        <v>16</v>
      </c>
      <c r="D52" s="6" t="s">
        <v>12</v>
      </c>
      <c r="E52" s="7">
        <v>98.59</v>
      </c>
      <c r="H52" s="6" t="s">
        <v>29</v>
      </c>
      <c r="I52" s="6" t="s">
        <v>48</v>
      </c>
    </row>
    <row r="53" spans="1:9" s="4" customFormat="1">
      <c r="A53" s="4" t="s">
        <v>46</v>
      </c>
      <c r="B53" s="4" t="s">
        <v>54</v>
      </c>
      <c r="C53" s="4" t="s">
        <v>16</v>
      </c>
      <c r="D53" s="4" t="s">
        <v>12</v>
      </c>
      <c r="E53" s="5">
        <v>99</v>
      </c>
      <c r="H53" s="4" t="s">
        <v>55</v>
      </c>
      <c r="I53" s="4" t="s">
        <v>12</v>
      </c>
    </row>
    <row r="54" spans="1:9" s="4" customFormat="1">
      <c r="A54" s="4" t="s">
        <v>38</v>
      </c>
      <c r="B54" s="4" t="s">
        <v>56</v>
      </c>
      <c r="C54" s="4" t="s">
        <v>16</v>
      </c>
      <c r="D54" s="4" t="s">
        <v>12</v>
      </c>
      <c r="E54" s="5">
        <v>100.35</v>
      </c>
      <c r="H54" s="4" t="s">
        <v>29</v>
      </c>
    </row>
    <row r="55" spans="1:9" s="4" customFormat="1">
      <c r="A55" s="4" t="s">
        <v>47</v>
      </c>
      <c r="B55" s="4" t="s">
        <v>37</v>
      </c>
      <c r="C55" s="4" t="s">
        <v>16</v>
      </c>
      <c r="D55" s="4" t="s">
        <v>12</v>
      </c>
      <c r="E55" s="5">
        <v>104.97</v>
      </c>
      <c r="H55" s="4" t="s">
        <v>29</v>
      </c>
      <c r="I55" s="4" t="s">
        <v>12</v>
      </c>
    </row>
    <row r="56" spans="1:9" s="4" customFormat="1">
      <c r="A56" s="4" t="s">
        <v>27</v>
      </c>
      <c r="B56" s="4" t="s">
        <v>57</v>
      </c>
      <c r="C56" s="4" t="s">
        <v>16</v>
      </c>
      <c r="D56" s="4" t="s">
        <v>12</v>
      </c>
      <c r="E56" s="5">
        <v>108.02</v>
      </c>
      <c r="H56" s="4" t="s">
        <v>29</v>
      </c>
      <c r="I56" s="4" t="s">
        <v>12</v>
      </c>
    </row>
    <row r="57" spans="1:9" s="6" customFormat="1">
      <c r="A57" s="6" t="s">
        <v>46</v>
      </c>
      <c r="B57" s="6" t="s">
        <v>58</v>
      </c>
      <c r="C57" s="6" t="s">
        <v>16</v>
      </c>
      <c r="D57" s="6" t="s">
        <v>12</v>
      </c>
      <c r="E57" s="7">
        <v>108.2</v>
      </c>
      <c r="F57" s="6">
        <v>20</v>
      </c>
      <c r="G57" s="6">
        <v>5.41</v>
      </c>
      <c r="H57" s="6" t="s">
        <v>55</v>
      </c>
      <c r="I57" s="6" t="s">
        <v>59</v>
      </c>
    </row>
    <row r="58" spans="1:9" s="6" customFormat="1">
      <c r="A58" s="6" t="s">
        <v>60</v>
      </c>
      <c r="B58" s="6" t="s">
        <v>58</v>
      </c>
      <c r="C58" s="6" t="s">
        <v>16</v>
      </c>
      <c r="D58" s="6" t="s">
        <v>12</v>
      </c>
      <c r="E58" s="7">
        <v>108.4</v>
      </c>
      <c r="F58" s="6">
        <v>20</v>
      </c>
      <c r="G58" s="6">
        <v>5.42</v>
      </c>
      <c r="H58" s="6" t="s">
        <v>55</v>
      </c>
      <c r="I58" s="6" t="s">
        <v>59</v>
      </c>
    </row>
    <row r="59" spans="1:9" s="6" customFormat="1">
      <c r="A59" s="6" t="s">
        <v>61</v>
      </c>
      <c r="B59" s="6" t="s">
        <v>62</v>
      </c>
      <c r="C59" s="6" t="s">
        <v>16</v>
      </c>
      <c r="D59" s="6" t="s">
        <v>63</v>
      </c>
      <c r="E59" s="7">
        <v>112.32</v>
      </c>
      <c r="H59" s="6" t="s">
        <v>29</v>
      </c>
      <c r="I59" s="6" t="s">
        <v>44</v>
      </c>
    </row>
    <row r="60" spans="1:9" s="4" customFormat="1">
      <c r="A60" s="4" t="s">
        <v>27</v>
      </c>
      <c r="B60" s="4" t="s">
        <v>39</v>
      </c>
      <c r="C60" s="4" t="s">
        <v>16</v>
      </c>
      <c r="D60" s="4" t="s">
        <v>12</v>
      </c>
      <c r="E60" s="5">
        <v>112.5</v>
      </c>
      <c r="H60" s="4" t="s">
        <v>29</v>
      </c>
      <c r="I60" s="4" t="s">
        <v>12</v>
      </c>
    </row>
    <row r="61" spans="1:9" s="4" customFormat="1">
      <c r="A61" s="4" t="s">
        <v>38</v>
      </c>
      <c r="B61" s="4" t="s">
        <v>64</v>
      </c>
      <c r="C61" s="4" t="s">
        <v>16</v>
      </c>
      <c r="D61" s="4" t="s">
        <v>12</v>
      </c>
      <c r="E61" s="5">
        <v>114.29</v>
      </c>
      <c r="H61" s="4" t="s">
        <v>50</v>
      </c>
      <c r="I61" s="4" t="s">
        <v>12</v>
      </c>
    </row>
    <row r="62" spans="1:9" s="4" customFormat="1">
      <c r="A62" s="4" t="s">
        <v>30</v>
      </c>
      <c r="B62" s="4" t="s">
        <v>28</v>
      </c>
      <c r="C62" s="4" t="s">
        <v>16</v>
      </c>
      <c r="D62" s="4" t="s">
        <v>12</v>
      </c>
      <c r="E62" s="5">
        <v>119.6</v>
      </c>
      <c r="H62" s="4" t="s">
        <v>29</v>
      </c>
      <c r="I62" s="4" t="s">
        <v>12</v>
      </c>
    </row>
    <row r="63" spans="1:9" s="6" customFormat="1">
      <c r="A63" s="6" t="s">
        <v>65</v>
      </c>
      <c r="B63" s="6" t="s">
        <v>66</v>
      </c>
      <c r="C63" s="6" t="s">
        <v>16</v>
      </c>
      <c r="D63" s="6" t="s">
        <v>67</v>
      </c>
      <c r="E63" s="7">
        <v>120</v>
      </c>
      <c r="H63" s="6" t="s">
        <v>68</v>
      </c>
      <c r="I63" s="6" t="s">
        <v>12</v>
      </c>
    </row>
    <row r="64" spans="1:9" s="6" customFormat="1">
      <c r="A64" s="6" t="s">
        <v>69</v>
      </c>
      <c r="B64" s="6" t="s">
        <v>70</v>
      </c>
      <c r="C64" s="6" t="s">
        <v>16</v>
      </c>
      <c r="D64" s="6" t="s">
        <v>12</v>
      </c>
      <c r="E64" s="7">
        <v>120</v>
      </c>
      <c r="H64" s="6" t="s">
        <v>50</v>
      </c>
      <c r="I64" s="6" t="s">
        <v>12</v>
      </c>
    </row>
    <row r="65" spans="1:9" s="4" customFormat="1">
      <c r="A65" s="4" t="s">
        <v>9</v>
      </c>
      <c r="B65" s="4" t="s">
        <v>71</v>
      </c>
      <c r="C65" s="4" t="s">
        <v>16</v>
      </c>
      <c r="D65" s="4" t="s">
        <v>12</v>
      </c>
      <c r="E65" s="5">
        <v>139</v>
      </c>
      <c r="H65" s="4" t="s">
        <v>29</v>
      </c>
      <c r="I65" s="4" t="s">
        <v>12</v>
      </c>
    </row>
    <row r="66" spans="1:9" s="4" customFormat="1">
      <c r="A66" s="4" t="s">
        <v>27</v>
      </c>
      <c r="B66" s="4" t="s">
        <v>72</v>
      </c>
      <c r="C66" s="4" t="s">
        <v>16</v>
      </c>
      <c r="D66" s="4" t="s">
        <v>12</v>
      </c>
      <c r="E66" s="5">
        <v>139.80000000000001</v>
      </c>
      <c r="H66" s="4" t="s">
        <v>29</v>
      </c>
      <c r="I66" s="4" t="s">
        <v>12</v>
      </c>
    </row>
    <row r="67" spans="1:9" s="4" customFormat="1">
      <c r="A67" s="4" t="s">
        <v>60</v>
      </c>
      <c r="B67" s="4" t="s">
        <v>73</v>
      </c>
      <c r="C67" s="4" t="s">
        <v>16</v>
      </c>
      <c r="D67" s="4" t="s">
        <v>12</v>
      </c>
      <c r="E67" s="5">
        <v>149</v>
      </c>
      <c r="H67" s="4" t="s">
        <v>55</v>
      </c>
      <c r="I67" s="4" t="s">
        <v>12</v>
      </c>
    </row>
    <row r="68" spans="1:9" s="6" customFormat="1">
      <c r="A68" s="6" t="s">
        <v>19</v>
      </c>
      <c r="B68" s="6" t="s">
        <v>74</v>
      </c>
      <c r="C68" s="6" t="s">
        <v>16</v>
      </c>
      <c r="D68" s="6" t="s">
        <v>12</v>
      </c>
      <c r="E68" s="7">
        <v>150.26</v>
      </c>
      <c r="H68" s="6" t="s">
        <v>50</v>
      </c>
      <c r="I68" s="6" t="s">
        <v>12</v>
      </c>
    </row>
    <row r="69" spans="1:9" s="6" customFormat="1">
      <c r="A69" s="6" t="s">
        <v>30</v>
      </c>
      <c r="B69" s="6" t="s">
        <v>28</v>
      </c>
      <c r="C69" s="6" t="s">
        <v>16</v>
      </c>
      <c r="D69" s="6" t="s">
        <v>12</v>
      </c>
      <c r="E69" s="7">
        <v>152.9</v>
      </c>
      <c r="H69" s="6" t="s">
        <v>29</v>
      </c>
      <c r="I69" s="6" t="s">
        <v>44</v>
      </c>
    </row>
    <row r="70" spans="1:9" s="6" customFormat="1">
      <c r="A70" s="9">
        <v>46181</v>
      </c>
      <c r="B70" s="6" t="s">
        <v>39</v>
      </c>
      <c r="C70" s="6" t="s">
        <v>16</v>
      </c>
      <c r="D70" s="6" t="s">
        <v>12</v>
      </c>
      <c r="E70" s="7">
        <v>179.78</v>
      </c>
      <c r="H70" s="6" t="s">
        <v>29</v>
      </c>
      <c r="I70" s="6" t="s">
        <v>75</v>
      </c>
    </row>
    <row r="71" spans="1:9" s="6" customFormat="1">
      <c r="A71" s="6" t="s">
        <v>76</v>
      </c>
      <c r="B71" s="6" t="s">
        <v>77</v>
      </c>
      <c r="C71" s="6" t="s">
        <v>16</v>
      </c>
      <c r="D71" s="6" t="s">
        <v>78</v>
      </c>
      <c r="E71" s="7">
        <v>183.24</v>
      </c>
      <c r="H71" s="6" t="s">
        <v>68</v>
      </c>
      <c r="I71" s="6" t="s">
        <v>44</v>
      </c>
    </row>
    <row r="72" spans="1:9" s="6" customFormat="1" ht="15.75" customHeight="1">
      <c r="A72" s="6" t="s">
        <v>27</v>
      </c>
      <c r="B72" s="6" t="s">
        <v>28</v>
      </c>
      <c r="C72" s="6" t="s">
        <v>16</v>
      </c>
      <c r="D72" s="6" t="s">
        <v>12</v>
      </c>
      <c r="E72" s="7">
        <v>188.66</v>
      </c>
      <c r="H72" s="6" t="s">
        <v>29</v>
      </c>
      <c r="I72" s="6" t="s">
        <v>44</v>
      </c>
    </row>
    <row r="73" spans="1:9" s="4" customFormat="1">
      <c r="A73" s="4" t="s">
        <v>52</v>
      </c>
      <c r="B73" s="4" t="s">
        <v>79</v>
      </c>
      <c r="C73" s="4" t="s">
        <v>16</v>
      </c>
      <c r="D73" s="4" t="s">
        <v>12</v>
      </c>
      <c r="E73" s="5">
        <v>188.97</v>
      </c>
      <c r="H73" s="4" t="s">
        <v>29</v>
      </c>
      <c r="I73" s="4" t="s">
        <v>12</v>
      </c>
    </row>
    <row r="74" spans="1:9" s="4" customFormat="1">
      <c r="A74" s="4" t="s">
        <v>30</v>
      </c>
      <c r="B74" s="4" t="s">
        <v>80</v>
      </c>
      <c r="C74" s="4" t="s">
        <v>16</v>
      </c>
      <c r="D74" s="4" t="s">
        <v>12</v>
      </c>
      <c r="E74" s="5">
        <v>235</v>
      </c>
      <c r="H74" s="4" t="s">
        <v>29</v>
      </c>
      <c r="I74" s="4" t="s">
        <v>12</v>
      </c>
    </row>
    <row r="75" spans="1:9" s="6" customFormat="1">
      <c r="A75" s="6" t="s">
        <v>18</v>
      </c>
      <c r="B75" s="6" t="s">
        <v>73</v>
      </c>
      <c r="C75" s="6" t="s">
        <v>16</v>
      </c>
      <c r="D75" s="6" t="s">
        <v>12</v>
      </c>
      <c r="E75" s="7">
        <v>235.52</v>
      </c>
      <c r="H75" s="6" t="s">
        <v>55</v>
      </c>
      <c r="I75" s="6" t="s">
        <v>12</v>
      </c>
    </row>
    <row r="76" spans="1:9" s="4" customFormat="1">
      <c r="A76" s="4" t="s">
        <v>24</v>
      </c>
      <c r="B76" s="4" t="s">
        <v>45</v>
      </c>
      <c r="C76" s="4" t="s">
        <v>16</v>
      </c>
      <c r="D76" s="4" t="s">
        <v>12</v>
      </c>
      <c r="E76" s="5">
        <v>242.69</v>
      </c>
      <c r="H76" s="4" t="s">
        <v>21</v>
      </c>
      <c r="I76" s="4" t="s">
        <v>12</v>
      </c>
    </row>
    <row r="77" spans="1:9" s="4" customFormat="1">
      <c r="A77" s="4" t="s">
        <v>52</v>
      </c>
      <c r="B77" s="4" t="s">
        <v>81</v>
      </c>
      <c r="C77" s="4" t="s">
        <v>16</v>
      </c>
      <c r="D77" s="4" t="s">
        <v>12</v>
      </c>
      <c r="E77" s="5">
        <v>249</v>
      </c>
      <c r="H77" s="4" t="s">
        <v>55</v>
      </c>
      <c r="I77" s="4" t="s">
        <v>12</v>
      </c>
    </row>
    <row r="78" spans="1:9" s="6" customFormat="1">
      <c r="A78" s="6" t="s">
        <v>69</v>
      </c>
      <c r="B78" s="6" t="s">
        <v>73</v>
      </c>
      <c r="C78" s="6" t="s">
        <v>16</v>
      </c>
      <c r="D78" s="6" t="s">
        <v>12</v>
      </c>
      <c r="E78" s="7">
        <v>249</v>
      </c>
      <c r="H78" s="6" t="s">
        <v>55</v>
      </c>
      <c r="I78" s="6" t="s">
        <v>44</v>
      </c>
    </row>
    <row r="79" spans="1:9" s="6" customFormat="1">
      <c r="A79" s="6" t="s">
        <v>19</v>
      </c>
      <c r="B79" s="6" t="s">
        <v>81</v>
      </c>
      <c r="C79" s="6" t="s">
        <v>16</v>
      </c>
      <c r="D79" s="6" t="s">
        <v>12</v>
      </c>
      <c r="E79" s="7">
        <v>249</v>
      </c>
      <c r="H79" s="6" t="s">
        <v>55</v>
      </c>
      <c r="I79" s="6" t="s">
        <v>44</v>
      </c>
    </row>
    <row r="80" spans="1:9" s="4" customFormat="1">
      <c r="A80" s="8">
        <v>46182</v>
      </c>
      <c r="B80" s="4" t="s">
        <v>28</v>
      </c>
      <c r="C80" s="4" t="s">
        <v>16</v>
      </c>
      <c r="D80" s="4" t="s">
        <v>12</v>
      </c>
      <c r="E80" s="5">
        <v>252</v>
      </c>
      <c r="H80" s="4" t="s">
        <v>29</v>
      </c>
      <c r="I80" s="4" t="s">
        <v>12</v>
      </c>
    </row>
    <row r="81" spans="1:9" s="6" customFormat="1">
      <c r="A81" s="6" t="s">
        <v>82</v>
      </c>
      <c r="B81" s="6" t="s">
        <v>83</v>
      </c>
      <c r="C81" s="6" t="s">
        <v>16</v>
      </c>
      <c r="D81" s="6" t="s">
        <v>12</v>
      </c>
      <c r="E81" s="7">
        <v>272.60000000000002</v>
      </c>
      <c r="H81" s="6" t="s">
        <v>68</v>
      </c>
      <c r="I81" s="6" t="s">
        <v>12</v>
      </c>
    </row>
    <row r="82" spans="1:9" s="6" customFormat="1">
      <c r="A82" s="6" t="s">
        <v>82</v>
      </c>
      <c r="B82" s="6" t="s">
        <v>83</v>
      </c>
      <c r="C82" s="6" t="s">
        <v>16</v>
      </c>
      <c r="D82" s="6" t="s">
        <v>12</v>
      </c>
      <c r="E82" s="7">
        <v>284.01</v>
      </c>
      <c r="H82" s="6" t="s">
        <v>68</v>
      </c>
      <c r="I82" s="6" t="s">
        <v>12</v>
      </c>
    </row>
    <row r="83" spans="1:9" s="6" customFormat="1">
      <c r="A83" s="6" t="s">
        <v>84</v>
      </c>
      <c r="B83" s="6" t="s">
        <v>85</v>
      </c>
      <c r="C83" s="6" t="s">
        <v>16</v>
      </c>
      <c r="D83" s="6" t="s">
        <v>86</v>
      </c>
      <c r="E83" s="7">
        <v>299.89999999999998</v>
      </c>
      <c r="H83" s="6" t="s">
        <v>21</v>
      </c>
      <c r="I83" s="6" t="s">
        <v>12</v>
      </c>
    </row>
    <row r="84" spans="1:9" s="2" customFormat="1" ht="15.75">
      <c r="A84" s="2" t="s">
        <v>87</v>
      </c>
      <c r="B84" s="2" t="s">
        <v>88</v>
      </c>
      <c r="C84" s="2" t="s">
        <v>16</v>
      </c>
      <c r="D84" s="2" t="s">
        <v>12</v>
      </c>
      <c r="E84" s="3">
        <v>367.91</v>
      </c>
      <c r="H84" s="2" t="s">
        <v>89</v>
      </c>
      <c r="I84" s="2" t="s">
        <v>90</v>
      </c>
    </row>
    <row r="85" spans="1:9" s="6" customFormat="1">
      <c r="A85" s="6" t="s">
        <v>24</v>
      </c>
      <c r="B85" s="6" t="s">
        <v>91</v>
      </c>
      <c r="C85" s="6" t="s">
        <v>16</v>
      </c>
      <c r="D85" s="6" t="s">
        <v>12</v>
      </c>
      <c r="E85" s="7">
        <v>392.79</v>
      </c>
      <c r="H85" s="6" t="s">
        <v>55</v>
      </c>
      <c r="I85" s="6" t="s">
        <v>12</v>
      </c>
    </row>
    <row r="86" spans="1:9" s="6" customFormat="1">
      <c r="A86" s="6" t="s">
        <v>92</v>
      </c>
      <c r="B86" s="6" t="s">
        <v>93</v>
      </c>
      <c r="C86" s="6" t="s">
        <v>16</v>
      </c>
      <c r="D86" s="6" t="s">
        <v>94</v>
      </c>
      <c r="E86" s="7">
        <v>407.7</v>
      </c>
      <c r="H86" s="6" t="s">
        <v>50</v>
      </c>
    </row>
    <row r="87" spans="1:9" s="4" customFormat="1">
      <c r="A87" s="4" t="s">
        <v>87</v>
      </c>
      <c r="B87" s="4" t="s">
        <v>95</v>
      </c>
      <c r="C87" s="4" t="s">
        <v>16</v>
      </c>
      <c r="D87" s="4" t="s">
        <v>12</v>
      </c>
      <c r="E87" s="5">
        <v>608.4</v>
      </c>
      <c r="H87" s="4" t="s">
        <v>55</v>
      </c>
    </row>
    <row r="88" spans="1:9" s="6" customFormat="1">
      <c r="A88" s="6" t="s">
        <v>96</v>
      </c>
      <c r="B88" s="6" t="s">
        <v>97</v>
      </c>
      <c r="C88" s="6" t="s">
        <v>16</v>
      </c>
      <c r="D88" s="6" t="s">
        <v>98</v>
      </c>
      <c r="E88" s="7">
        <v>653.34</v>
      </c>
      <c r="H88" s="6" t="s">
        <v>89</v>
      </c>
      <c r="I88" s="6" t="s">
        <v>44</v>
      </c>
    </row>
    <row r="89" spans="1:9" s="6" customFormat="1">
      <c r="A89" s="6" t="s">
        <v>53</v>
      </c>
      <c r="B89" s="6" t="s">
        <v>99</v>
      </c>
      <c r="C89" s="6" t="s">
        <v>16</v>
      </c>
      <c r="D89" s="6" t="s">
        <v>12</v>
      </c>
      <c r="E89" s="7">
        <v>769.15</v>
      </c>
      <c r="H89" s="6" t="s">
        <v>50</v>
      </c>
      <c r="I89" s="6" t="s">
        <v>44</v>
      </c>
    </row>
    <row r="90" spans="1:9" s="6" customFormat="1">
      <c r="A90" s="6" t="s">
        <v>100</v>
      </c>
      <c r="B90" s="6" t="s">
        <v>101</v>
      </c>
      <c r="C90" s="6" t="s">
        <v>16</v>
      </c>
      <c r="D90" s="6" t="s">
        <v>12</v>
      </c>
      <c r="E90" s="7">
        <v>807.48</v>
      </c>
      <c r="H90" s="6" t="s">
        <v>55</v>
      </c>
      <c r="I90" s="6" t="s">
        <v>44</v>
      </c>
    </row>
    <row r="91" spans="1:9" s="6" customFormat="1">
      <c r="A91" s="6" t="s">
        <v>102</v>
      </c>
      <c r="B91" s="6" t="s">
        <v>103</v>
      </c>
      <c r="C91" s="6" t="s">
        <v>16</v>
      </c>
      <c r="D91" s="6" t="s">
        <v>104</v>
      </c>
      <c r="E91" s="7">
        <v>889.08</v>
      </c>
      <c r="H91" s="6" t="s">
        <v>89</v>
      </c>
      <c r="I91" s="6" t="s">
        <v>44</v>
      </c>
    </row>
    <row r="92" spans="1:9" s="6" customFormat="1">
      <c r="A92" s="6" t="s">
        <v>9</v>
      </c>
      <c r="B92" s="6" t="s">
        <v>28</v>
      </c>
      <c r="C92" s="6" t="s">
        <v>16</v>
      </c>
      <c r="D92" s="6" t="s">
        <v>12</v>
      </c>
      <c r="E92" s="7">
        <v>992.89</v>
      </c>
      <c r="H92" s="6" t="s">
        <v>29</v>
      </c>
      <c r="I92" s="6" t="s">
        <v>44</v>
      </c>
    </row>
    <row r="93" spans="1:9" s="6" customFormat="1">
      <c r="A93" s="6" t="s">
        <v>105</v>
      </c>
      <c r="B93" s="6" t="s">
        <v>106</v>
      </c>
      <c r="C93" s="6" t="s">
        <v>16</v>
      </c>
      <c r="D93" s="6" t="s">
        <v>12</v>
      </c>
      <c r="E93" s="7">
        <v>1019.11</v>
      </c>
      <c r="H93" s="6" t="s">
        <v>23</v>
      </c>
      <c r="I93" s="6" t="s">
        <v>44</v>
      </c>
    </row>
    <row r="94" spans="1:9" s="4" customFormat="1">
      <c r="A94" s="4" t="s">
        <v>69</v>
      </c>
      <c r="B94" s="4" t="s">
        <v>107</v>
      </c>
      <c r="C94" s="4" t="s">
        <v>16</v>
      </c>
      <c r="D94" s="4" t="s">
        <v>12</v>
      </c>
      <c r="E94" s="5">
        <v>1114.06</v>
      </c>
      <c r="H94" s="4" t="s">
        <v>89</v>
      </c>
      <c r="I94" s="4" t="s">
        <v>12</v>
      </c>
    </row>
    <row r="95" spans="1:9" s="4" customFormat="1" ht="15.75">
      <c r="A95" s="4" t="s">
        <v>46</v>
      </c>
      <c r="B95" s="4" t="s">
        <v>73</v>
      </c>
      <c r="C95" s="4" t="s">
        <v>16</v>
      </c>
      <c r="D95" s="4" t="s">
        <v>12</v>
      </c>
      <c r="E95" s="5">
        <v>1199</v>
      </c>
      <c r="H95" s="4" t="s">
        <v>55</v>
      </c>
      <c r="I95" s="4" t="s">
        <v>12</v>
      </c>
    </row>
    <row r="96" spans="1:9" s="6" customFormat="1">
      <c r="A96" s="6" t="s">
        <v>52</v>
      </c>
      <c r="B96" s="6" t="s">
        <v>108</v>
      </c>
      <c r="C96" s="6" t="s">
        <v>16</v>
      </c>
      <c r="D96" s="6" t="s">
        <v>12</v>
      </c>
      <c r="E96" s="7">
        <v>1249.8399999999999</v>
      </c>
      <c r="H96" s="6" t="s">
        <v>89</v>
      </c>
      <c r="I96" s="6" t="s">
        <v>44</v>
      </c>
    </row>
    <row r="97" spans="1:9" s="4" customFormat="1">
      <c r="A97" s="8">
        <v>46182</v>
      </c>
      <c r="B97" s="4" t="s">
        <v>107</v>
      </c>
      <c r="C97" s="4" t="s">
        <v>16</v>
      </c>
      <c r="D97" s="4" t="s">
        <v>12</v>
      </c>
      <c r="E97" s="5">
        <v>1262.3800000000001</v>
      </c>
      <c r="H97" s="4" t="s">
        <v>89</v>
      </c>
      <c r="I97" s="4" t="s">
        <v>12</v>
      </c>
    </row>
    <row r="98" spans="1:9" s="4" customFormat="1">
      <c r="A98" s="4" t="s">
        <v>53</v>
      </c>
      <c r="B98" s="4" t="s">
        <v>109</v>
      </c>
      <c r="C98" s="4" t="s">
        <v>16</v>
      </c>
      <c r="D98" s="4" t="s">
        <v>12</v>
      </c>
      <c r="E98" s="5">
        <v>1447.14</v>
      </c>
      <c r="H98" s="4" t="s">
        <v>21</v>
      </c>
      <c r="I98" s="4" t="s">
        <v>12</v>
      </c>
    </row>
    <row r="99" spans="1:9" s="6" customFormat="1">
      <c r="A99" s="6" t="s">
        <v>110</v>
      </c>
      <c r="B99" s="6" t="s">
        <v>108</v>
      </c>
      <c r="C99" s="6" t="s">
        <v>16</v>
      </c>
      <c r="D99" s="6" t="s">
        <v>111</v>
      </c>
      <c r="E99" s="7">
        <v>1813.34</v>
      </c>
      <c r="H99" s="6" t="s">
        <v>89</v>
      </c>
      <c r="I99" s="6" t="s">
        <v>44</v>
      </c>
    </row>
    <row r="100" spans="1:9" s="4" customFormat="1">
      <c r="A100" s="4" t="s">
        <v>27</v>
      </c>
      <c r="B100" s="4" t="s">
        <v>109</v>
      </c>
      <c r="C100" s="4" t="s">
        <v>16</v>
      </c>
      <c r="D100" s="4" t="s">
        <v>12</v>
      </c>
      <c r="E100" s="5">
        <v>1821.14</v>
      </c>
      <c r="H100" s="4" t="s">
        <v>21</v>
      </c>
      <c r="I100" s="4" t="s">
        <v>12</v>
      </c>
    </row>
    <row r="101" spans="1:9" s="4" customFormat="1">
      <c r="A101" s="4" t="s">
        <v>69</v>
      </c>
      <c r="B101" s="4" t="s">
        <v>109</v>
      </c>
      <c r="C101" s="4" t="s">
        <v>16</v>
      </c>
      <c r="D101" s="4" t="s">
        <v>12</v>
      </c>
      <c r="E101" s="5">
        <v>1954.12</v>
      </c>
      <c r="H101" s="4" t="s">
        <v>21</v>
      </c>
      <c r="I101" s="4" t="s">
        <v>12</v>
      </c>
    </row>
    <row r="102" spans="1:9" s="6" customFormat="1">
      <c r="A102" s="6" t="s">
        <v>112</v>
      </c>
      <c r="B102" s="6" t="s">
        <v>113</v>
      </c>
      <c r="C102" s="6" t="s">
        <v>16</v>
      </c>
      <c r="D102" s="6" t="s">
        <v>114</v>
      </c>
      <c r="E102" s="7">
        <v>3224.28</v>
      </c>
      <c r="H102" s="6" t="s">
        <v>29</v>
      </c>
      <c r="I102" s="6" t="s">
        <v>44</v>
      </c>
    </row>
    <row r="103" spans="1:9" s="4" customFormat="1">
      <c r="A103" s="4" t="s">
        <v>9</v>
      </c>
      <c r="B103" s="4" t="s">
        <v>115</v>
      </c>
      <c r="C103" s="4" t="s">
        <v>16</v>
      </c>
      <c r="D103" s="4" t="s">
        <v>12</v>
      </c>
      <c r="E103" s="5">
        <v>3684.82</v>
      </c>
      <c r="H103" s="4" t="s">
        <v>89</v>
      </c>
      <c r="I103" s="4" t="s">
        <v>12</v>
      </c>
    </row>
    <row r="104" spans="1:9" s="4" customFormat="1">
      <c r="A104" s="4" t="s">
        <v>52</v>
      </c>
      <c r="B104" s="4" t="s">
        <v>116</v>
      </c>
      <c r="C104" s="4" t="s">
        <v>16</v>
      </c>
      <c r="D104" s="4" t="s">
        <v>12</v>
      </c>
      <c r="E104" s="5">
        <v>5331.07</v>
      </c>
      <c r="H104" s="4" t="s">
        <v>21</v>
      </c>
      <c r="I104" s="4" t="s">
        <v>12</v>
      </c>
    </row>
    <row r="105" spans="1:9">
      <c r="D105" s="2" t="s">
        <v>117</v>
      </c>
      <c r="E105" s="3">
        <f>SUM(E2:E104)</f>
        <v>38706.939999999995</v>
      </c>
    </row>
  </sheetData>
  <sortState xmlns:xlrd2="http://schemas.microsoft.com/office/spreadsheetml/2017/richdata2" ref="A2:I109">
    <sortCondition ref="E2:E109"/>
  </sortState>
  <pageMargins left="0" right="0" top="0" bottom="0" header="0" footer="0"/>
  <ignoredErrors>
    <ignoredError sqref="A1:I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/>
  </sheetViews>
  <sheetFormatPr defaultRowHeight="15"/>
  <cols>
    <col min="1" max="1" width="28.875" customWidth="1"/>
    <col min="2" max="2" width="20.875" customWidth="1"/>
    <col min="3" max="3" width="16.875" customWidth="1"/>
    <col min="4" max="4" width="14.875" customWidth="1"/>
  </cols>
  <sheetData>
    <row r="1" spans="1:4">
      <c r="A1" t="s">
        <v>118</v>
      </c>
    </row>
    <row r="3" spans="1:4">
      <c r="A3" t="s">
        <v>7</v>
      </c>
      <c r="B3" t="s">
        <v>119</v>
      </c>
      <c r="C3" t="s">
        <v>120</v>
      </c>
      <c r="D3" t="s">
        <v>121</v>
      </c>
    </row>
    <row r="4" spans="1:4">
      <c r="A4" t="s">
        <v>89</v>
      </c>
      <c r="B4">
        <v>8</v>
      </c>
      <c r="C4">
        <v>11034.769999999999</v>
      </c>
      <c r="D4">
        <v>0.28508505193125566</v>
      </c>
    </row>
    <row r="5" spans="1:4">
      <c r="A5" t="s">
        <v>29</v>
      </c>
      <c r="B5">
        <v>57</v>
      </c>
      <c r="C5">
        <v>8369.5299999999988</v>
      </c>
      <c r="D5">
        <v>0.21622814926728898</v>
      </c>
    </row>
    <row r="6" spans="1:4">
      <c r="A6" t="s">
        <v>21</v>
      </c>
      <c r="B6">
        <v>9</v>
      </c>
      <c r="C6">
        <v>11228.65</v>
      </c>
      <c r="D6">
        <v>0.29009397281211069</v>
      </c>
    </row>
    <row r="7" spans="1:4">
      <c r="A7" t="s">
        <v>23</v>
      </c>
      <c r="B7">
        <v>2</v>
      </c>
      <c r="C7">
        <v>1032.05</v>
      </c>
      <c r="D7">
        <v>2.6663177197680826E-2</v>
      </c>
    </row>
    <row r="8" spans="1:4">
      <c r="A8" t="s">
        <v>55</v>
      </c>
      <c r="B8">
        <v>12</v>
      </c>
      <c r="C8">
        <v>4454.79</v>
      </c>
      <c r="D8">
        <v>0.11509021379628562</v>
      </c>
    </row>
    <row r="9" spans="1:4">
      <c r="A9" t="s">
        <v>68</v>
      </c>
      <c r="B9">
        <v>4</v>
      </c>
      <c r="C9">
        <v>859.85</v>
      </c>
      <c r="D9">
        <v>2.221436259234132E-2</v>
      </c>
    </row>
    <row r="10" spans="1:4">
      <c r="A10" t="s">
        <v>17</v>
      </c>
      <c r="B10">
        <v>2</v>
      </c>
      <c r="C10">
        <v>7.58</v>
      </c>
      <c r="D10">
        <v>1.9583051514792952E-4</v>
      </c>
    </row>
    <row r="11" spans="1:4">
      <c r="A11" t="s">
        <v>50</v>
      </c>
      <c r="B11">
        <v>7</v>
      </c>
      <c r="C11">
        <v>1719.7199999999998</v>
      </c>
      <c r="D11">
        <v>4.4429241887888833E-2</v>
      </c>
    </row>
    <row r="12" spans="1:4">
      <c r="A12" t="s">
        <v>13</v>
      </c>
      <c r="B12">
        <v>2</v>
      </c>
      <c r="C12">
        <v>0</v>
      </c>
      <c r="D12">
        <v>0</v>
      </c>
    </row>
    <row r="13" spans="1:4">
      <c r="A13" t="s">
        <v>122</v>
      </c>
      <c r="B13" t="s">
        <v>12</v>
      </c>
      <c r="C13">
        <f>SUM(C4:C12)</f>
        <v>38706.939999999995</v>
      </c>
      <c r="D13">
        <f>SUM(D4:D12)</f>
        <v>0.99999999999999989</v>
      </c>
    </row>
  </sheetData>
  <pageMargins left="0" right="0" top="0" bottom="0" header="0" footer="0"/>
  <ignoredErrors>
    <ignoredError sqref="A1:D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2026-10-09T13:30:00Z</dcterms:created>
  <dcterms:modified xsi:type="dcterms:W3CDTF">2026-10-13T14:13:14Z</dcterms:modified>
  <cp:category/>
  <cp:contentStatus/>
</cp:coreProperties>
</file>